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b3238b4c7823155/"/>
    </mc:Choice>
  </mc:AlternateContent>
  <xr:revisionPtr revIDLastSave="0" documentId="8_{16116153-CB4E-470D-BBB9-823194DE95B6}" xr6:coauthVersionLast="47" xr6:coauthVersionMax="47" xr10:uidLastSave="{00000000-0000-0000-0000-000000000000}"/>
  <bookViews>
    <workbookView xWindow="-110" yWindow="-110" windowWidth="19420" windowHeight="11500" xr2:uid="{9A66C805-31AE-4E85-B290-FB8A7D8CB239}"/>
  </bookViews>
  <sheets>
    <sheet name="Sheet1" sheetId="3" r:id="rId1"/>
    <sheet name="ticket" sheetId="1" r:id="rId2"/>
    <sheet name="feedbacks" sheetId="2" r:id="rId3"/>
  </sheets>
  <calcPr calcId="191028"/>
  <pivotCaches>
    <pivotCache cacheId="163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" i="2"/>
  <c r="G3" i="1"/>
  <c r="G4" i="1"/>
  <c r="G2" i="1"/>
  <c r="F3" i="1"/>
  <c r="F4" i="1"/>
  <c r="F2" i="1"/>
</calcChain>
</file>

<file path=xl/sharedStrings.xml><?xml version="1.0" encoding="utf-8"?>
<sst xmlns="http://schemas.openxmlformats.org/spreadsheetml/2006/main" count="23" uniqueCount="19">
  <si>
    <t>outlet_id</t>
  </si>
  <si>
    <t>Sum of same_day_flag</t>
  </si>
  <si>
    <t>Sum of same_hour_flag</t>
  </si>
  <si>
    <t>Grand Total</t>
  </si>
  <si>
    <t>ticket_id</t>
  </si>
  <si>
    <t>created_at</t>
  </si>
  <si>
    <t>closed_at</t>
  </si>
  <si>
    <t>cms_id</t>
  </si>
  <si>
    <t>same_day_flag</t>
  </si>
  <si>
    <t>same_hour_flag</t>
  </si>
  <si>
    <t>T1</t>
  </si>
  <si>
    <t>c101</t>
  </si>
  <si>
    <t>T2</t>
  </si>
  <si>
    <t>c102</t>
  </si>
  <si>
    <t>T3</t>
  </si>
  <si>
    <t>c103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</si>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</sst>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1.44397453704" createdVersion="8" refreshedVersion="8" minRefreshableVersion="3" recordCount="3" xr:uid="{DE5411B5-66DA-43B4-B15D-7527444F06C0}">
  <cacheSource type="worksheet">
    <worksheetSource ref="A1:G4" sheet="ticket"/>
  </cacheSource>
  <cacheFields count="7">
    <cacheField name="ticket_id" numFmtId="0">
      <sharedItems/>
    </cacheField>
    <cacheField name="created_at" numFmtId="14">
      <sharedItems containsSemiMixedTypes="0" containsNonDate="0" containsDate="1" containsString="0" minDate="2021-08-21T00:00:00" maxDate="2021-08-24T00:00:00"/>
    </cacheField>
    <cacheField name="closed_at" numFmtId="20">
      <sharedItems containsSemiMixedTypes="0" containsNonDate="0" containsDate="1" containsString="0" minDate="1899-12-30T10:00:00" maxDate="1899-12-30T12:00:00"/>
    </cacheField>
    <cacheField name="outlet_id" numFmtId="0">
      <sharedItems containsSemiMixedTypes="0" containsString="0" containsNumber="1" containsInteger="1" minValue="0" maxValue="1" count="2">
        <n v="1"/>
        <n v="0"/>
      </sharedItems>
    </cacheField>
    <cacheField name="cms_id" numFmtId="0">
      <sharedItems/>
    </cacheField>
    <cacheField name="same_day_flag" numFmtId="0">
      <sharedItems containsSemiMixedTypes="0" containsString="0" containsNumber="1" containsInteger="1" minValue="0" maxValue="0"/>
    </cacheField>
    <cacheField name="same_hour_flag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T1"/>
    <d v="2021-08-21T00:00:00"/>
    <d v="1899-12-30T12:00:00"/>
    <x v="0"/>
    <s v="c101"/>
    <n v="0"/>
    <n v="0"/>
  </r>
  <r>
    <s v="T2"/>
    <d v="2021-08-22T00:00:00"/>
    <d v="1899-12-30T10:00:00"/>
    <x v="1"/>
    <s v="c102"/>
    <n v="0"/>
    <n v="0"/>
  </r>
  <r>
    <s v="T3"/>
    <d v="2021-08-23T00:00:00"/>
    <d v="1899-12-30T11:30:00"/>
    <x v="0"/>
    <s v="c10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9CF2D-AA5A-40D9-9765-2A1DCD6F4016}" name="PivotTable1" cacheId="16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6" firstHeaderRow="0" firstDataRow="1" firstDataCol="1"/>
  <pivotFields count="7">
    <pivotField compact="0" outline="0" showAll="0"/>
    <pivotField compact="0" numFmtId="14" outline="0" showAll="0"/>
    <pivotField compact="0" numFmtId="2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_day_flag" fld="5" baseField="0" baseItem="0"/>
    <dataField name="Sum of same_hour_flag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769E-4DAC-43B4-886B-1F7516DA49DA}">
  <dimension ref="A3:C6"/>
  <sheetViews>
    <sheetView tabSelected="1" workbookViewId="0">
      <selection activeCell="B6" sqref="B6"/>
    </sheetView>
  </sheetViews>
  <sheetFormatPr defaultRowHeight="15"/>
  <cols>
    <col min="1" max="1" width="11.85546875" bestFit="1" customWidth="1"/>
    <col min="2" max="2" width="20.42578125" bestFit="1" customWidth="1"/>
    <col min="3" max="3" width="21.42578125" bestFit="1" customWidth="1"/>
  </cols>
  <sheetData>
    <row r="3" spans="1:3">
      <c r="A3" s="3" t="s">
        <v>0</v>
      </c>
      <c r="B3" t="s">
        <v>1</v>
      </c>
      <c r="C3" t="s">
        <v>2</v>
      </c>
    </row>
    <row r="4" spans="1:3">
      <c r="A4">
        <v>0</v>
      </c>
      <c r="B4" s="4">
        <v>0</v>
      </c>
      <c r="C4" s="4">
        <v>0</v>
      </c>
    </row>
    <row r="5" spans="1:3">
      <c r="A5">
        <v>1</v>
      </c>
      <c r="B5" s="4">
        <v>0</v>
      </c>
      <c r="C5" s="4">
        <v>0</v>
      </c>
    </row>
    <row r="6" spans="1:3">
      <c r="A6" t="s">
        <v>3</v>
      </c>
      <c r="B6" s="4">
        <v>0</v>
      </c>
      <c r="C6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0EF1-9202-4139-A8A8-C4A1C084EBEB}">
  <dimension ref="A1:G4"/>
  <sheetViews>
    <sheetView workbookViewId="0">
      <selection sqref="A1:G4"/>
    </sheetView>
  </sheetViews>
  <sheetFormatPr defaultRowHeight="14.45"/>
  <cols>
    <col min="2" max="2" width="10.140625" bestFit="1" customWidth="1"/>
    <col min="6" max="6" width="19.85546875" customWidth="1"/>
  </cols>
  <sheetData>
    <row r="1" spans="1:7">
      <c r="A1" t="s">
        <v>4</v>
      </c>
      <c r="B1" t="s">
        <v>5</v>
      </c>
      <c r="C1" t="s">
        <v>6</v>
      </c>
      <c r="D1" t="s">
        <v>0</v>
      </c>
      <c r="E1" t="s">
        <v>7</v>
      </c>
      <c r="F1" t="s">
        <v>8</v>
      </c>
      <c r="G1" t="s">
        <v>9</v>
      </c>
    </row>
    <row r="2" spans="1:7">
      <c r="A2" t="s">
        <v>10</v>
      </c>
      <c r="B2" s="1">
        <v>44429</v>
      </c>
      <c r="C2" s="2">
        <v>0.5</v>
      </c>
      <c r="D2">
        <v>1</v>
      </c>
      <c r="E2" t="s">
        <v>11</v>
      </c>
      <c r="F2">
        <f>IF(INT(B2)=INT(C2),1,0)</f>
        <v>0</v>
      </c>
      <c r="G2">
        <f>IF(TEXT(B2,"yyyy-mm-dd hh")=TEXT(C2,"yyyy-mm-dd hh"),1,0)</f>
        <v>0</v>
      </c>
    </row>
    <row r="3" spans="1:7">
      <c r="A3" t="s">
        <v>12</v>
      </c>
      <c r="B3" s="1">
        <v>44430</v>
      </c>
      <c r="C3" s="2">
        <v>0.41666666666666669</v>
      </c>
      <c r="D3">
        <v>0</v>
      </c>
      <c r="E3" t="s">
        <v>13</v>
      </c>
      <c r="F3">
        <f t="shared" ref="F3:F4" si="0">IF(INT(B3)=INT(C3),1,0)</f>
        <v>0</v>
      </c>
      <c r="G3">
        <f t="shared" ref="G3:G4" si="1">IF(TEXT(B3,"yyyy-mm-dd hh")=TEXT(C3,"yyyy-mm-dd hh"),1,0)</f>
        <v>0</v>
      </c>
    </row>
    <row r="4" spans="1:7">
      <c r="A4" t="s">
        <v>14</v>
      </c>
      <c r="B4" s="1">
        <v>44431</v>
      </c>
      <c r="C4" s="2">
        <v>0.47916666666666669</v>
      </c>
      <c r="D4">
        <v>1</v>
      </c>
      <c r="E4" t="s">
        <v>15</v>
      </c>
      <c r="F4">
        <f t="shared" si="0"/>
        <v>0</v>
      </c>
      <c r="G4">
        <f t="shared" si="1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FFFB-481E-4B82-BB4C-7946F292622A}">
  <dimension ref="A1:D3"/>
  <sheetViews>
    <sheetView workbookViewId="0">
      <selection activeCell="D2" sqref="D2"/>
    </sheetView>
  </sheetViews>
  <sheetFormatPr defaultRowHeight="14.45"/>
  <cols>
    <col min="2" max="2" width="10.140625" bestFit="1" customWidth="1"/>
  </cols>
  <sheetData>
    <row r="1" spans="1:4">
      <c r="A1" t="s">
        <v>7</v>
      </c>
      <c r="B1" t="s">
        <v>16</v>
      </c>
      <c r="C1" t="s">
        <v>17</v>
      </c>
      <c r="D1" t="s">
        <v>18</v>
      </c>
    </row>
    <row r="2" spans="1:4">
      <c r="A2" t="s">
        <v>11</v>
      </c>
      <c r="B2" s="1">
        <v>44429.541666666664</v>
      </c>
      <c r="C2">
        <v>4</v>
      </c>
      <c r="D2" s="2">
        <f>INDEX(ticket!B:B, MATCH(A2, ticket!E:E, 0))</f>
        <v>44429</v>
      </c>
    </row>
    <row r="3" spans="1:4">
      <c r="A3" t="s">
        <v>13</v>
      </c>
      <c r="B3" s="1">
        <v>44430.583333333336</v>
      </c>
      <c r="C3">
        <v>5</v>
      </c>
      <c r="D3" s="2">
        <f>INDEX(ticket!B:B, MATCH(A3, ticket!E:E, 0))</f>
        <v>44430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Kumar</dc:creator>
  <cp:keywords/>
  <dc:description/>
  <cp:lastModifiedBy/>
  <cp:revision/>
  <dcterms:created xsi:type="dcterms:W3CDTF">2026-04-09T04:14:29Z</dcterms:created>
  <dcterms:modified xsi:type="dcterms:W3CDTF">2026-04-09T05:21:58Z</dcterms:modified>
  <cp:category/>
  <cp:contentStatus/>
</cp:coreProperties>
</file>